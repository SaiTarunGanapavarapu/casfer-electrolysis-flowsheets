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sganapavarapu3_gatech_edu/Documents/Documents/GitHub/Electrolysis FS Paper Github Code/casfer-electrolysis-flowsheets/src/singleUnitModels/"/>
    </mc:Choice>
  </mc:AlternateContent>
  <xr:revisionPtr revIDLastSave="34" documentId="11_8CCADCC9B95DB80F317971D7B895B4C0B25E9753" xr6:coauthVersionLast="47" xr6:coauthVersionMax="47" xr10:uidLastSave="{7C07B463-BEDE-40AE-8422-F40568EB3AD0}"/>
  <bookViews>
    <workbookView xWindow="-86520" yWindow="771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65" i="1"/>
  <c r="C83" i="1"/>
  <c r="C64" i="1"/>
  <c r="C60" i="1"/>
  <c r="C57" i="1"/>
  <c r="C41" i="1"/>
  <c r="C35" i="1"/>
  <c r="C28" i="1"/>
  <c r="C23" i="1"/>
  <c r="C17" i="1"/>
  <c r="C16" i="1"/>
  <c r="C11" i="1"/>
  <c r="C9" i="1"/>
  <c r="C8" i="1"/>
  <c r="C7" i="1"/>
  <c r="C3" i="1"/>
  <c r="C2" i="1"/>
  <c r="C37" i="1" l="1"/>
</calcChain>
</file>

<file path=xl/sharedStrings.xml><?xml version="1.0" encoding="utf-8"?>
<sst xmlns="http://schemas.openxmlformats.org/spreadsheetml/2006/main" count="291" uniqueCount="128">
  <si>
    <t>Unit Operation</t>
  </si>
  <si>
    <t>Parameter</t>
  </si>
  <si>
    <t>Value</t>
  </si>
  <si>
    <t>Unit</t>
  </si>
  <si>
    <t>Explanation</t>
  </si>
  <si>
    <t>Standard Constants</t>
  </si>
  <si>
    <t>Lifetime</t>
  </si>
  <si>
    <t>seconds</t>
  </si>
  <si>
    <t>20 years</t>
  </si>
  <si>
    <t>Electricity Price</t>
  </si>
  <si>
    <t>$/kWh</t>
  </si>
  <si>
    <t>Conservative estimate. Last 2 years industrial avg = 0.083</t>
  </si>
  <si>
    <t>Acceleration due to Gravity</t>
  </si>
  <si>
    <t>m/s2</t>
  </si>
  <si>
    <t>Total Flow of Wastewater In</t>
  </si>
  <si>
    <t>m3/s</t>
  </si>
  <si>
    <t>76.5 m3/d Dewatered Sludge (18.36 MGD WWTP influent)</t>
  </si>
  <si>
    <t>Feed TSS</t>
  </si>
  <si>
    <t>Fraction of solids</t>
  </si>
  <si>
    <t>20 % of feed is solids</t>
  </si>
  <si>
    <t>Sludge Density</t>
  </si>
  <si>
    <t>kg/m3</t>
  </si>
  <si>
    <t>20 % solids</t>
  </si>
  <si>
    <t>Sludge Viscosity</t>
  </si>
  <si>
    <t>Pa-s</t>
  </si>
  <si>
    <t>Preparation Tank</t>
  </si>
  <si>
    <t>Residence Time</t>
  </si>
  <si>
    <t>5 min</t>
  </si>
  <si>
    <t>Cost Reference</t>
  </si>
  <si>
    <t>$</t>
  </si>
  <si>
    <t>EGROW Excel sheet</t>
  </si>
  <si>
    <t>Volume Reference</t>
  </si>
  <si>
    <t>m3</t>
  </si>
  <si>
    <t>EGROW Excel sheet (160 gallons)</t>
  </si>
  <si>
    <t>Capex Factor</t>
  </si>
  <si>
    <t>Lime Tank Volume</t>
  </si>
  <si>
    <t>EGROW Excel sheet (1500 gallons)</t>
  </si>
  <si>
    <t>Lime Tank Cost</t>
  </si>
  <si>
    <t>Lime Tank Capex Factor</t>
  </si>
  <si>
    <t>Power Number</t>
  </si>
  <si>
    <t>Base Cost</t>
  </si>
  <si>
    <t>$/kg</t>
  </si>
  <si>
    <t>CaO cost - 150 $/ton</t>
  </si>
  <si>
    <t>Base Density</t>
  </si>
  <si>
    <t>Cao Density</t>
  </si>
  <si>
    <t>Base Solubility</t>
  </si>
  <si>
    <t>Target TSS</t>
  </si>
  <si>
    <t>Feed is diluted to 8% solids</t>
  </si>
  <si>
    <t>Water Price</t>
  </si>
  <si>
    <t>$/m3</t>
  </si>
  <si>
    <t>EGROW Excel Sheet (Texas Commercial Prices)</t>
  </si>
  <si>
    <t>Electrolyzer</t>
  </si>
  <si>
    <t>Current Density</t>
  </si>
  <si>
    <t>A/m2</t>
  </si>
  <si>
    <t>EGROW Excel sheet - Electrolysis</t>
  </si>
  <si>
    <t>Cell Voltage</t>
  </si>
  <si>
    <t>30 min. EGROW Excel sheet - Electrolysis</t>
  </si>
  <si>
    <t>Area Reference</t>
  </si>
  <si>
    <t>m2</t>
  </si>
  <si>
    <t>Specific Energy Consumption</t>
  </si>
  <si>
    <t>kWh/kg DS</t>
  </si>
  <si>
    <t>Receiving Tank</t>
  </si>
  <si>
    <t>EGROW Excel sheet (66000 gallons)</t>
  </si>
  <si>
    <t>Acid Cost</t>
  </si>
  <si>
    <t>H2SO4 cost - 0.125 $/kg</t>
  </si>
  <si>
    <t>Acid Density</t>
  </si>
  <si>
    <t>H2SO4 Density</t>
  </si>
  <si>
    <t>Centrifuge</t>
  </si>
  <si>
    <t>Commercial Centrifuge ref:https://www.sciencedirect.com/science/article/pii/S0960148119311073?via=ihub</t>
  </si>
  <si>
    <t>kWh/m3</t>
  </si>
  <si>
    <t>Commercial Centrifuge ref: https://pubs.rsc.org/en/content/articlelanding/2025/su/d5su00019j</t>
  </si>
  <si>
    <t>Outlet Solid Stream Density</t>
  </si>
  <si>
    <t>Outlet Liquid Stream Density</t>
  </si>
  <si>
    <t>finer solids</t>
  </si>
  <si>
    <t>Beta</t>
  </si>
  <si>
    <t>Capture factor (100% efficiency)</t>
  </si>
  <si>
    <t>Particle Diameter</t>
  </si>
  <si>
    <t>micro meter</t>
  </si>
  <si>
    <t>67310-88 FINAL (1).pdf - Ozhan</t>
  </si>
  <si>
    <t>Dryer</t>
  </si>
  <si>
    <t>1 hr</t>
  </si>
  <si>
    <t>https://www.sciencedirect.com/science/article/pii/S026087742400339X</t>
  </si>
  <si>
    <t>Air Density</t>
  </si>
  <si>
    <t>Air Specific Heat</t>
  </si>
  <si>
    <t>kWh/kg-K</t>
  </si>
  <si>
    <t>Air Viscosity</t>
  </si>
  <si>
    <t>Pa.s</t>
  </si>
  <si>
    <t>Air Diffusivity</t>
  </si>
  <si>
    <t>m2/s</t>
  </si>
  <si>
    <t>Latent Heat of Vaporization</t>
  </si>
  <si>
    <t>2260 kJ/kg</t>
  </si>
  <si>
    <t>Blower Efficiency</t>
  </si>
  <si>
    <t>Heat Loss Factor</t>
  </si>
  <si>
    <t>15% supplied heat is lost to atmosphere</t>
  </si>
  <si>
    <t>Ambient Temperature</t>
  </si>
  <si>
    <t>K</t>
  </si>
  <si>
    <r>
      <t xml:space="preserve">25 </t>
    </r>
    <r>
      <rPr>
        <sz val="11"/>
        <color rgb="FF000000"/>
        <rFont val="Aptos Narrow"/>
        <family val="2"/>
      </rPr>
      <t>°</t>
    </r>
    <r>
      <rPr>
        <sz val="11"/>
        <color rgb="FF000000"/>
        <rFont val="Calibri"/>
        <family val="2"/>
        <scheme val="minor"/>
      </rPr>
      <t>C</t>
    </r>
  </si>
  <si>
    <t>Gas Permeable Membrane</t>
  </si>
  <si>
    <t>pKa</t>
  </si>
  <si>
    <t>-</t>
  </si>
  <si>
    <t>Inlet pH</t>
  </si>
  <si>
    <t>Assuming pH didn’t significantly change in centrifugation process</t>
  </si>
  <si>
    <t>Inlet Density</t>
  </si>
  <si>
    <t>Assuming it is close to water</t>
  </si>
  <si>
    <t>Inlet Viscosity</t>
  </si>
  <si>
    <t>Inlet Diffusivity</t>
  </si>
  <si>
    <t>NH3 in water</t>
  </si>
  <si>
    <t>Hydraulic Diameter</t>
  </si>
  <si>
    <t>m</t>
  </si>
  <si>
    <t>Module Length</t>
  </si>
  <si>
    <t>Acid Stoichiometry</t>
  </si>
  <si>
    <t>kg Acid/kg N</t>
  </si>
  <si>
    <t>$/m2</t>
  </si>
  <si>
    <t>Cost of GPM membranes</t>
  </si>
  <si>
    <t>Pump Specific Energy Consumption</t>
  </si>
  <si>
    <t>Pump Efficiency</t>
  </si>
  <si>
    <t>cost depends on the volume of packing</t>
  </si>
  <si>
    <t>Fan Efficiency</t>
  </si>
  <si>
    <t>Acid Price</t>
  </si>
  <si>
    <t>Base Price</t>
  </si>
  <si>
    <t>Compressibility Exponent</t>
  </si>
  <si>
    <t>Reference Pressure</t>
  </si>
  <si>
    <t>TSS Reference</t>
  </si>
  <si>
    <t>Pa</t>
  </si>
  <si>
    <t>Duty Reference</t>
  </si>
  <si>
    <t>kg-water/s</t>
  </si>
  <si>
    <t>J/m3</t>
  </si>
  <si>
    <t>Stripper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</si>
</sst>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85"/>
  <sheetViews>
    <sheetView tabSelected="1" workbookViewId="0">
      <selection activeCell="E35" sqref="E35"/>
    </sheetView>
  </sheetViews>
  <sheetFormatPr defaultRowHeight="14.4" x14ac:dyDescent="0.55000000000000004"/>
  <cols>
    <col min="1" max="1" width="23.83984375" style="7" bestFit="1" customWidth="1"/>
    <col min="2" max="2" width="28.734375" style="7" bestFit="1" customWidth="1"/>
    <col min="3" max="3" width="18.578125" style="6" bestFit="1" customWidth="1"/>
    <col min="4" max="4" width="18" bestFit="1" customWidth="1"/>
    <col min="5" max="5" width="101.578125" bestFit="1" customWidth="1"/>
  </cols>
  <sheetData>
    <row r="1" spans="1:5" ht="19.5" customHeight="1" x14ac:dyDescent="0.5500000000000000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19.5" customHeight="1" x14ac:dyDescent="0.55000000000000004">
      <c r="A2" s="3" t="s">
        <v>5</v>
      </c>
      <c r="B2" s="3" t="s">
        <v>6</v>
      </c>
      <c r="C2" s="4">
        <f>20*300*24*60*60</f>
        <v>518400000</v>
      </c>
      <c r="D2" s="3" t="s">
        <v>7</v>
      </c>
      <c r="E2" s="3" t="s">
        <v>8</v>
      </c>
    </row>
    <row r="3" spans="1:5" ht="19.5" customHeight="1" x14ac:dyDescent="0.55000000000000004">
      <c r="A3" s="3" t="s">
        <v>5</v>
      </c>
      <c r="B3" s="3" t="s">
        <v>9</v>
      </c>
      <c r="C3" s="5">
        <f>0.1</f>
        <v>0.1</v>
      </c>
      <c r="D3" s="3" t="s">
        <v>10</v>
      </c>
      <c r="E3" s="3" t="s">
        <v>11</v>
      </c>
    </row>
    <row r="4" spans="1:5" ht="19.5" customHeight="1" x14ac:dyDescent="0.55000000000000004">
      <c r="A4" s="3" t="s">
        <v>5</v>
      </c>
      <c r="B4" s="3" t="s">
        <v>12</v>
      </c>
      <c r="C4" s="5">
        <v>9.81</v>
      </c>
      <c r="D4" s="3" t="s">
        <v>13</v>
      </c>
      <c r="E4" s="7"/>
    </row>
    <row r="5" spans="1:5" ht="19.5" customHeight="1" x14ac:dyDescent="0.55000000000000004">
      <c r="A5" s="3" t="s">
        <v>5</v>
      </c>
      <c r="B5" s="3" t="s">
        <v>14</v>
      </c>
      <c r="C5" s="5">
        <v>8.8541666000000005E-4</v>
      </c>
      <c r="D5" s="3" t="s">
        <v>15</v>
      </c>
      <c r="E5" s="3" t="s">
        <v>16</v>
      </c>
    </row>
    <row r="6" spans="1:5" ht="19.5" customHeight="1" x14ac:dyDescent="0.55000000000000004">
      <c r="A6" s="3" t="s">
        <v>5</v>
      </c>
      <c r="B6" s="3" t="s">
        <v>17</v>
      </c>
      <c r="C6" s="5">
        <v>0.2</v>
      </c>
      <c r="D6" s="3" t="s">
        <v>18</v>
      </c>
      <c r="E6" s="3" t="s">
        <v>19</v>
      </c>
    </row>
    <row r="7" spans="1:5" ht="19.5" customHeight="1" x14ac:dyDescent="0.55000000000000004">
      <c r="A7" s="3" t="s">
        <v>5</v>
      </c>
      <c r="B7" s="3" t="s">
        <v>20</v>
      </c>
      <c r="C7" s="4">
        <f>1.2*1000</f>
        <v>1200</v>
      </c>
      <c r="D7" s="3" t="s">
        <v>21</v>
      </c>
      <c r="E7" s="3" t="s">
        <v>22</v>
      </c>
    </row>
    <row r="8" spans="1:5" ht="19.5" customHeight="1" x14ac:dyDescent="0.55000000000000004">
      <c r="A8" s="3" t="s">
        <v>5</v>
      </c>
      <c r="B8" s="3" t="s">
        <v>23</v>
      </c>
      <c r="C8" s="5">
        <f>0.001</f>
        <v>1E-3</v>
      </c>
      <c r="D8" s="3" t="s">
        <v>24</v>
      </c>
      <c r="E8" s="7"/>
    </row>
    <row r="9" spans="1:5" ht="19.5" customHeight="1" x14ac:dyDescent="0.55000000000000004">
      <c r="A9" s="3" t="s">
        <v>25</v>
      </c>
      <c r="B9" s="3" t="s">
        <v>26</v>
      </c>
      <c r="C9" s="4">
        <f>5*60</f>
        <v>300</v>
      </c>
      <c r="D9" s="3" t="s">
        <v>7</v>
      </c>
      <c r="E9" s="3" t="s">
        <v>27</v>
      </c>
    </row>
    <row r="10" spans="1:5" ht="19.5" customHeight="1" x14ac:dyDescent="0.55000000000000004">
      <c r="A10" s="3" t="s">
        <v>25</v>
      </c>
      <c r="B10" s="3" t="s">
        <v>28</v>
      </c>
      <c r="C10" s="4">
        <v>4495</v>
      </c>
      <c r="D10" s="3" t="s">
        <v>29</v>
      </c>
      <c r="E10" s="3" t="s">
        <v>30</v>
      </c>
    </row>
    <row r="11" spans="1:5" ht="19.5" customHeight="1" x14ac:dyDescent="0.55000000000000004">
      <c r="A11" s="3" t="s">
        <v>25</v>
      </c>
      <c r="B11" s="3" t="s">
        <v>31</v>
      </c>
      <c r="C11" s="5">
        <f>0.605666</f>
        <v>0.60566600000000004</v>
      </c>
      <c r="D11" s="3" t="s">
        <v>32</v>
      </c>
      <c r="E11" s="3" t="s">
        <v>33</v>
      </c>
    </row>
    <row r="12" spans="1:5" ht="19.5" customHeight="1" x14ac:dyDescent="0.55000000000000004">
      <c r="A12" s="3" t="s">
        <v>25</v>
      </c>
      <c r="B12" s="3" t="s">
        <v>34</v>
      </c>
      <c r="C12" s="5">
        <v>0.7</v>
      </c>
      <c r="D12" s="7"/>
      <c r="E12" s="7"/>
    </row>
    <row r="13" spans="1:5" ht="19.5" customHeight="1" x14ac:dyDescent="0.55000000000000004">
      <c r="A13" s="3" t="s">
        <v>25</v>
      </c>
      <c r="B13" s="3" t="s">
        <v>35</v>
      </c>
      <c r="C13" s="5">
        <v>5.6781180000000004</v>
      </c>
      <c r="D13" s="3" t="s">
        <v>32</v>
      </c>
      <c r="E13" s="3" t="s">
        <v>36</v>
      </c>
    </row>
    <row r="14" spans="1:5" ht="19.5" customHeight="1" x14ac:dyDescent="0.55000000000000004">
      <c r="A14" s="3" t="s">
        <v>25</v>
      </c>
      <c r="B14" s="3" t="s">
        <v>37</v>
      </c>
      <c r="C14" s="4">
        <v>311692</v>
      </c>
      <c r="D14" s="3" t="s">
        <v>29</v>
      </c>
      <c r="E14" s="3" t="s">
        <v>36</v>
      </c>
    </row>
    <row r="15" spans="1:5" ht="19.5" customHeight="1" x14ac:dyDescent="0.55000000000000004">
      <c r="A15" s="3" t="s">
        <v>25</v>
      </c>
      <c r="B15" s="3" t="s">
        <v>38</v>
      </c>
      <c r="C15" s="5">
        <v>0.7</v>
      </c>
      <c r="D15" s="7"/>
      <c r="E15" s="7"/>
    </row>
    <row r="16" spans="1:5" ht="19.5" customHeight="1" x14ac:dyDescent="0.55000000000000004">
      <c r="A16" s="3" t="s">
        <v>25</v>
      </c>
      <c r="B16" s="3" t="s">
        <v>40</v>
      </c>
      <c r="C16" s="5">
        <f>150/1000</f>
        <v>0.15</v>
      </c>
      <c r="D16" s="3" t="s">
        <v>41</v>
      </c>
      <c r="E16" s="3" t="s">
        <v>42</v>
      </c>
    </row>
    <row r="17" spans="1:5" ht="19.5" customHeight="1" x14ac:dyDescent="0.55000000000000004">
      <c r="A17" s="3" t="s">
        <v>25</v>
      </c>
      <c r="B17" s="3" t="s">
        <v>43</v>
      </c>
      <c r="C17" s="4">
        <f>3.34*10^3</f>
        <v>3340</v>
      </c>
      <c r="D17" s="3" t="s">
        <v>21</v>
      </c>
      <c r="E17" s="3" t="s">
        <v>44</v>
      </c>
    </row>
    <row r="18" spans="1:5" ht="19.5" customHeight="1" x14ac:dyDescent="0.55000000000000004">
      <c r="A18" s="3" t="s">
        <v>25</v>
      </c>
      <c r="B18" s="3" t="s">
        <v>45</v>
      </c>
      <c r="C18" s="5">
        <v>1.5</v>
      </c>
      <c r="D18" s="3" t="s">
        <v>21</v>
      </c>
      <c r="E18" s="3"/>
    </row>
    <row r="19" spans="1:5" ht="19.5" customHeight="1" x14ac:dyDescent="0.55000000000000004">
      <c r="A19" s="3" t="s">
        <v>25</v>
      </c>
      <c r="B19" s="3" t="s">
        <v>46</v>
      </c>
      <c r="C19" s="5">
        <v>0.08</v>
      </c>
      <c r="D19" s="3" t="s">
        <v>18</v>
      </c>
      <c r="E19" s="3" t="s">
        <v>47</v>
      </c>
    </row>
    <row r="20" spans="1:5" ht="19.5" customHeight="1" x14ac:dyDescent="0.55000000000000004">
      <c r="A20" s="3" t="s">
        <v>25</v>
      </c>
      <c r="B20" s="3" t="s">
        <v>48</v>
      </c>
      <c r="C20" s="4">
        <v>2.44</v>
      </c>
      <c r="D20" s="3" t="s">
        <v>49</v>
      </c>
      <c r="E20" s="3" t="s">
        <v>50</v>
      </c>
    </row>
    <row r="21" spans="1:5" ht="19.5" customHeight="1" x14ac:dyDescent="0.55000000000000004">
      <c r="A21" s="3" t="s">
        <v>51</v>
      </c>
      <c r="B21" s="3" t="s">
        <v>52</v>
      </c>
      <c r="C21" s="4">
        <v>30</v>
      </c>
      <c r="D21" s="7" t="s">
        <v>53</v>
      </c>
      <c r="E21" s="7" t="s">
        <v>54</v>
      </c>
    </row>
    <row r="22" spans="1:5" ht="19.5" customHeight="1" x14ac:dyDescent="0.55000000000000004">
      <c r="A22" s="3" t="s">
        <v>51</v>
      </c>
      <c r="B22" s="3" t="s">
        <v>55</v>
      </c>
      <c r="C22" s="4"/>
      <c r="D22" s="3"/>
      <c r="E22" s="3"/>
    </row>
    <row r="23" spans="1:5" ht="19.5" customHeight="1" x14ac:dyDescent="0.55000000000000004">
      <c r="A23" s="3" t="s">
        <v>51</v>
      </c>
      <c r="B23" s="3" t="s">
        <v>26</v>
      </c>
      <c r="C23" s="4">
        <f>30*60</f>
        <v>1800</v>
      </c>
      <c r="D23" s="3" t="s">
        <v>7</v>
      </c>
      <c r="E23" s="3" t="s">
        <v>56</v>
      </c>
    </row>
    <row r="24" spans="1:5" ht="19.5" customHeight="1" x14ac:dyDescent="0.55000000000000004">
      <c r="A24" s="3" t="s">
        <v>51</v>
      </c>
      <c r="B24" s="3" t="s">
        <v>28</v>
      </c>
      <c r="C24" s="4">
        <v>6000</v>
      </c>
      <c r="D24" s="3" t="s">
        <v>29</v>
      </c>
      <c r="E24" s="7" t="s">
        <v>30</v>
      </c>
    </row>
    <row r="25" spans="1:5" ht="19.5" customHeight="1" x14ac:dyDescent="0.55000000000000004">
      <c r="A25" s="3" t="s">
        <v>51</v>
      </c>
      <c r="B25" s="3" t="s">
        <v>57</v>
      </c>
      <c r="C25" s="5">
        <v>1</v>
      </c>
      <c r="D25" s="7" t="s">
        <v>58</v>
      </c>
      <c r="E25" s="7"/>
    </row>
    <row r="26" spans="1:5" ht="19.5" customHeight="1" x14ac:dyDescent="0.55000000000000004">
      <c r="A26" s="3" t="s">
        <v>51</v>
      </c>
      <c r="B26" s="3" t="s">
        <v>34</v>
      </c>
      <c r="C26" s="5">
        <v>0.6</v>
      </c>
      <c r="D26" s="3"/>
      <c r="E26" s="3"/>
    </row>
    <row r="27" spans="1:5" ht="19.5" customHeight="1" x14ac:dyDescent="0.55000000000000004">
      <c r="A27" s="3" t="s">
        <v>51</v>
      </c>
      <c r="B27" s="3" t="s">
        <v>59</v>
      </c>
      <c r="C27" s="4">
        <v>7.1</v>
      </c>
      <c r="D27" s="3" t="s">
        <v>60</v>
      </c>
      <c r="E27" s="3" t="s">
        <v>54</v>
      </c>
    </row>
    <row r="28" spans="1:5" ht="18.75" customHeight="1" x14ac:dyDescent="0.55000000000000004">
      <c r="A28" s="3" t="s">
        <v>61</v>
      </c>
      <c r="B28" s="3" t="s">
        <v>26</v>
      </c>
      <c r="C28" s="4">
        <f>5*60</f>
        <v>300</v>
      </c>
      <c r="D28" s="3" t="s">
        <v>7</v>
      </c>
      <c r="E28" s="3" t="s">
        <v>27</v>
      </c>
    </row>
    <row r="29" spans="1:5" ht="18.75" customHeight="1" x14ac:dyDescent="0.55000000000000004">
      <c r="A29" s="3" t="s">
        <v>61</v>
      </c>
      <c r="B29" s="3" t="s">
        <v>28</v>
      </c>
      <c r="C29" s="5">
        <v>254842</v>
      </c>
      <c r="D29" s="3" t="s">
        <v>29</v>
      </c>
      <c r="E29" s="3" t="s">
        <v>30</v>
      </c>
    </row>
    <row r="30" spans="1:5" ht="18.75" customHeight="1" x14ac:dyDescent="0.55000000000000004">
      <c r="A30" s="3" t="s">
        <v>61</v>
      </c>
      <c r="B30" s="3" t="s">
        <v>31</v>
      </c>
      <c r="C30" s="5">
        <v>249.83717999999999</v>
      </c>
      <c r="D30" s="7" t="s">
        <v>32</v>
      </c>
      <c r="E30" s="7" t="s">
        <v>62</v>
      </c>
    </row>
    <row r="31" spans="1:5" ht="18.75" customHeight="1" x14ac:dyDescent="0.55000000000000004">
      <c r="A31" s="3" t="s">
        <v>61</v>
      </c>
      <c r="B31" s="3" t="s">
        <v>34</v>
      </c>
      <c r="C31" s="5">
        <v>0.7</v>
      </c>
      <c r="D31" s="3"/>
      <c r="E31" s="3"/>
    </row>
    <row r="32" spans="1:5" ht="18.75" customHeight="1" x14ac:dyDescent="0.55000000000000004">
      <c r="A32" s="3" t="s">
        <v>61</v>
      </c>
      <c r="B32" s="3" t="s">
        <v>63</v>
      </c>
      <c r="C32" s="4">
        <v>0.125</v>
      </c>
      <c r="D32" s="3" t="s">
        <v>41</v>
      </c>
      <c r="E32" s="3" t="s">
        <v>64</v>
      </c>
    </row>
    <row r="33" spans="1:5" ht="18.75" customHeight="1" x14ac:dyDescent="0.55000000000000004">
      <c r="A33" s="3" t="s">
        <v>61</v>
      </c>
      <c r="B33" s="3" t="s">
        <v>65</v>
      </c>
      <c r="C33" s="4">
        <v>1830</v>
      </c>
      <c r="D33" s="7" t="s">
        <v>21</v>
      </c>
      <c r="E33" s="7" t="s">
        <v>66</v>
      </c>
    </row>
    <row r="34" spans="1:5" ht="18.75" customHeight="1" x14ac:dyDescent="0.55000000000000004">
      <c r="A34" s="3" t="s">
        <v>67</v>
      </c>
      <c r="B34" s="3" t="s">
        <v>28</v>
      </c>
      <c r="C34" s="5">
        <v>500000</v>
      </c>
      <c r="D34" s="3" t="s">
        <v>29</v>
      </c>
      <c r="E34" s="3" t="s">
        <v>68</v>
      </c>
    </row>
    <row r="35" spans="1:5" ht="18.75" customHeight="1" x14ac:dyDescent="0.55000000000000004">
      <c r="A35" s="3" t="s">
        <v>67</v>
      </c>
      <c r="B35" s="3" t="s">
        <v>31</v>
      </c>
      <c r="C35" s="5">
        <f>10/3600</f>
        <v>2.7777777777777779E-3</v>
      </c>
      <c r="D35" s="7" t="s">
        <v>15</v>
      </c>
      <c r="E35" s="3" t="s">
        <v>68</v>
      </c>
    </row>
    <row r="36" spans="1:5" ht="18.75" customHeight="1" x14ac:dyDescent="0.55000000000000004">
      <c r="A36" s="3" t="s">
        <v>67</v>
      </c>
      <c r="B36" s="3" t="s">
        <v>34</v>
      </c>
      <c r="C36" s="5">
        <v>0.7</v>
      </c>
      <c r="D36" s="3"/>
      <c r="E36" s="3" t="s">
        <v>68</v>
      </c>
    </row>
    <row r="37" spans="1:5" ht="18.75" customHeight="1" x14ac:dyDescent="0.55000000000000004">
      <c r="A37" s="3" t="s">
        <v>67</v>
      </c>
      <c r="B37" s="3" t="s">
        <v>59</v>
      </c>
      <c r="C37" s="4">
        <f>1500/(24*60*60*C35)</f>
        <v>6.25</v>
      </c>
      <c r="D37" s="3" t="s">
        <v>69</v>
      </c>
      <c r="E37" s="3" t="s">
        <v>70</v>
      </c>
    </row>
    <row r="38" spans="1:5" ht="18.75" customHeight="1" x14ac:dyDescent="0.55000000000000004">
      <c r="A38" s="3" t="s">
        <v>67</v>
      </c>
      <c r="B38" s="3" t="s">
        <v>71</v>
      </c>
      <c r="C38" s="4">
        <v>1200</v>
      </c>
      <c r="D38" s="3" t="s">
        <v>21</v>
      </c>
      <c r="E38" s="3" t="s">
        <v>22</v>
      </c>
    </row>
    <row r="39" spans="1:5" ht="18.75" customHeight="1" x14ac:dyDescent="0.55000000000000004">
      <c r="A39" s="3" t="s">
        <v>67</v>
      </c>
      <c r="B39" s="3" t="s">
        <v>72</v>
      </c>
      <c r="C39" s="4">
        <v>1000</v>
      </c>
      <c r="D39" s="7" t="s">
        <v>21</v>
      </c>
      <c r="E39" s="3" t="s">
        <v>73</v>
      </c>
    </row>
    <row r="40" spans="1:5" ht="18.75" customHeight="1" x14ac:dyDescent="0.55000000000000004">
      <c r="A40" s="3" t="s">
        <v>67</v>
      </c>
      <c r="B40" s="3" t="s">
        <v>74</v>
      </c>
      <c r="C40" s="5">
        <v>1</v>
      </c>
      <c r="D40" s="3"/>
      <c r="E40" s="3" t="s">
        <v>75</v>
      </c>
    </row>
    <row r="41" spans="1:5" ht="18.75" customHeight="1" x14ac:dyDescent="0.55000000000000004">
      <c r="A41" s="3" t="s">
        <v>67</v>
      </c>
      <c r="B41" s="3" t="s">
        <v>76</v>
      </c>
      <c r="C41" s="4">
        <f>7.92*10^-6</f>
        <v>7.9200000000000004E-6</v>
      </c>
      <c r="D41" s="7" t="s">
        <v>77</v>
      </c>
      <c r="E41" s="7" t="s">
        <v>78</v>
      </c>
    </row>
    <row r="42" spans="1:5" ht="18.75" customHeight="1" x14ac:dyDescent="0.55000000000000004">
      <c r="A42" s="3" t="s">
        <v>67</v>
      </c>
      <c r="B42" s="3" t="s">
        <v>39</v>
      </c>
      <c r="C42" s="4">
        <v>5</v>
      </c>
      <c r="D42" s="3"/>
      <c r="E42" s="3"/>
    </row>
    <row r="43" spans="1:5" ht="18.75" customHeight="1" x14ac:dyDescent="0.55000000000000004">
      <c r="A43" s="3" t="s">
        <v>67</v>
      </c>
      <c r="B43" s="3" t="s">
        <v>120</v>
      </c>
      <c r="C43" s="4">
        <v>0.5</v>
      </c>
      <c r="D43" s="3"/>
      <c r="E43" s="3"/>
    </row>
    <row r="44" spans="1:5" ht="18.75" customHeight="1" x14ac:dyDescent="0.55000000000000004">
      <c r="A44" s="3" t="s">
        <v>67</v>
      </c>
      <c r="B44" s="3" t="s">
        <v>121</v>
      </c>
      <c r="C44" s="4">
        <v>1000000</v>
      </c>
      <c r="D44" s="3" t="s">
        <v>123</v>
      </c>
      <c r="E44" s="3"/>
    </row>
    <row r="45" spans="1:5" ht="18.75" customHeight="1" x14ac:dyDescent="0.55000000000000004">
      <c r="A45" s="3" t="s">
        <v>67</v>
      </c>
      <c r="B45" s="3" t="s">
        <v>122</v>
      </c>
      <c r="C45" s="10">
        <v>0.2</v>
      </c>
      <c r="D45" s="3"/>
      <c r="E45" s="3"/>
    </row>
    <row r="46" spans="1:5" ht="18.75" customHeight="1" x14ac:dyDescent="0.55000000000000004">
      <c r="A46" s="3" t="s">
        <v>79</v>
      </c>
      <c r="B46" s="3" t="s">
        <v>26</v>
      </c>
      <c r="C46" s="4">
        <v>3600</v>
      </c>
      <c r="D46" s="3" t="s">
        <v>7</v>
      </c>
      <c r="E46" s="3" t="s">
        <v>80</v>
      </c>
    </row>
    <row r="47" spans="1:5" ht="18.75" customHeight="1" x14ac:dyDescent="0.55000000000000004">
      <c r="A47" s="3" t="s">
        <v>79</v>
      </c>
      <c r="B47" s="3" t="s">
        <v>28</v>
      </c>
      <c r="C47" s="5">
        <f>500000</f>
        <v>500000</v>
      </c>
      <c r="D47" s="3" t="s">
        <v>29</v>
      </c>
      <c r="E47" s="8" t="s">
        <v>81</v>
      </c>
    </row>
    <row r="48" spans="1:5" ht="18.75" customHeight="1" x14ac:dyDescent="0.55000000000000004">
      <c r="A48" s="3" t="s">
        <v>79</v>
      </c>
      <c r="B48" s="3" t="s">
        <v>124</v>
      </c>
      <c r="C48" s="5">
        <v>0.2</v>
      </c>
      <c r="D48" s="7" t="s">
        <v>125</v>
      </c>
      <c r="E48" s="3" t="s">
        <v>81</v>
      </c>
    </row>
    <row r="49" spans="1:5" ht="18.75" customHeight="1" x14ac:dyDescent="0.55000000000000004">
      <c r="A49" s="3" t="s">
        <v>79</v>
      </c>
      <c r="B49" s="3" t="s">
        <v>34</v>
      </c>
      <c r="C49" s="5">
        <v>0.7</v>
      </c>
      <c r="D49" s="3"/>
      <c r="E49" s="7" t="s">
        <v>81</v>
      </c>
    </row>
    <row r="50" spans="1:5" ht="18.75" customHeight="1" x14ac:dyDescent="0.55000000000000004">
      <c r="A50" s="3" t="s">
        <v>79</v>
      </c>
      <c r="B50" s="3" t="s">
        <v>82</v>
      </c>
      <c r="C50" s="5">
        <v>1.2250000000000001</v>
      </c>
      <c r="D50" s="3" t="s">
        <v>21</v>
      </c>
      <c r="E50" s="7"/>
    </row>
    <row r="51" spans="1:5" ht="18.75" customHeight="1" x14ac:dyDescent="0.55000000000000004">
      <c r="A51" s="3" t="s">
        <v>79</v>
      </c>
      <c r="B51" s="3" t="s">
        <v>83</v>
      </c>
      <c r="C51" s="9">
        <v>2.7999999999999998E-4</v>
      </c>
      <c r="D51" s="3" t="s">
        <v>84</v>
      </c>
      <c r="E51" s="7"/>
    </row>
    <row r="52" spans="1:5" ht="18.75" customHeight="1" x14ac:dyDescent="0.55000000000000004">
      <c r="A52" s="3" t="s">
        <v>79</v>
      </c>
      <c r="B52" s="3" t="s">
        <v>85</v>
      </c>
      <c r="C52" s="9">
        <v>2.1999999999999999E-5</v>
      </c>
      <c r="D52" s="3" t="s">
        <v>86</v>
      </c>
      <c r="E52" s="7"/>
    </row>
    <row r="53" spans="1:5" ht="18.75" customHeight="1" x14ac:dyDescent="0.55000000000000004">
      <c r="A53" s="3" t="s">
        <v>79</v>
      </c>
      <c r="B53" s="3" t="s">
        <v>87</v>
      </c>
      <c r="C53" s="5">
        <v>2.5999999999999998E-5</v>
      </c>
      <c r="D53" s="3" t="s">
        <v>88</v>
      </c>
      <c r="E53" s="3"/>
    </row>
    <row r="54" spans="1:5" ht="18.75" customHeight="1" x14ac:dyDescent="0.55000000000000004">
      <c r="A54" s="3" t="s">
        <v>79</v>
      </c>
      <c r="B54" s="3" t="s">
        <v>89</v>
      </c>
      <c r="C54" s="5">
        <v>0.628</v>
      </c>
      <c r="D54" s="7" t="s">
        <v>84</v>
      </c>
      <c r="E54" s="7" t="s">
        <v>90</v>
      </c>
    </row>
    <row r="55" spans="1:5" ht="18.75" customHeight="1" x14ac:dyDescent="0.55000000000000004">
      <c r="A55" s="3" t="s">
        <v>79</v>
      </c>
      <c r="B55" s="3" t="s">
        <v>91</v>
      </c>
      <c r="C55" s="5">
        <v>0.7</v>
      </c>
      <c r="D55" s="7"/>
      <c r="E55" s="3"/>
    </row>
    <row r="56" spans="1:5" ht="18.75" customHeight="1" x14ac:dyDescent="0.55000000000000004">
      <c r="A56" s="3" t="s">
        <v>79</v>
      </c>
      <c r="B56" s="3" t="s">
        <v>92</v>
      </c>
      <c r="C56" s="5">
        <v>0.15</v>
      </c>
      <c r="D56" s="3"/>
      <c r="E56" s="3" t="s">
        <v>93</v>
      </c>
    </row>
    <row r="57" spans="1:5" ht="18.75" customHeight="1" x14ac:dyDescent="0.55000000000000004">
      <c r="A57" s="3" t="s">
        <v>79</v>
      </c>
      <c r="B57" s="3" t="s">
        <v>94</v>
      </c>
      <c r="C57" s="5">
        <f>273.15+25</f>
        <v>298.14999999999998</v>
      </c>
      <c r="D57" s="3" t="s">
        <v>95</v>
      </c>
      <c r="E57" s="7" t="s">
        <v>96</v>
      </c>
    </row>
    <row r="58" spans="1:5" ht="18.75" customHeight="1" x14ac:dyDescent="0.55000000000000004">
      <c r="A58" s="3" t="s">
        <v>79</v>
      </c>
      <c r="B58" s="3" t="s">
        <v>59</v>
      </c>
      <c r="C58" s="5">
        <v>5000</v>
      </c>
      <c r="D58" s="3" t="s">
        <v>126</v>
      </c>
      <c r="E58" s="7"/>
    </row>
    <row r="59" spans="1:5" ht="18.75" customHeight="1" x14ac:dyDescent="0.55000000000000004">
      <c r="A59" s="3" t="s">
        <v>97</v>
      </c>
      <c r="B59" s="3" t="s">
        <v>98</v>
      </c>
      <c r="C59" s="5">
        <v>9.25</v>
      </c>
      <c r="D59" s="3" t="s">
        <v>99</v>
      </c>
      <c r="E59" s="3"/>
    </row>
    <row r="60" spans="1:5" ht="18.75" customHeight="1" x14ac:dyDescent="0.55000000000000004">
      <c r="A60" s="3" t="s">
        <v>97</v>
      </c>
      <c r="B60" s="3" t="s">
        <v>40</v>
      </c>
      <c r="C60" s="5">
        <f>150/1000</f>
        <v>0.15</v>
      </c>
      <c r="D60" s="3" t="s">
        <v>41</v>
      </c>
      <c r="E60" s="3" t="s">
        <v>42</v>
      </c>
    </row>
    <row r="61" spans="1:5" ht="18.75" customHeight="1" x14ac:dyDescent="0.55000000000000004">
      <c r="A61" s="3" t="s">
        <v>97</v>
      </c>
      <c r="B61" s="3" t="s">
        <v>63</v>
      </c>
      <c r="C61" s="4">
        <v>0.125</v>
      </c>
      <c r="D61" s="3" t="s">
        <v>41</v>
      </c>
      <c r="E61" s="3" t="s">
        <v>64</v>
      </c>
    </row>
    <row r="62" spans="1:5" ht="18.75" customHeight="1" x14ac:dyDescent="0.55000000000000004">
      <c r="A62" s="3" t="s">
        <v>97</v>
      </c>
      <c r="B62" s="3" t="s">
        <v>100</v>
      </c>
      <c r="C62" s="4">
        <v>11</v>
      </c>
      <c r="D62" s="3" t="s">
        <v>99</v>
      </c>
      <c r="E62" s="3" t="s">
        <v>101</v>
      </c>
    </row>
    <row r="63" spans="1:5" ht="18.75" customHeight="1" x14ac:dyDescent="0.55000000000000004">
      <c r="A63" s="3" t="s">
        <v>97</v>
      </c>
      <c r="B63" s="3" t="s">
        <v>102</v>
      </c>
      <c r="C63" s="5">
        <v>1000</v>
      </c>
      <c r="D63" s="3" t="s">
        <v>21</v>
      </c>
      <c r="E63" s="3" t="s">
        <v>103</v>
      </c>
    </row>
    <row r="64" spans="1:5" ht="18.75" customHeight="1" x14ac:dyDescent="0.55000000000000004">
      <c r="A64" s="3" t="s">
        <v>97</v>
      </c>
      <c r="B64" s="3" t="s">
        <v>104</v>
      </c>
      <c r="C64" s="5">
        <f>0.001</f>
        <v>1E-3</v>
      </c>
      <c r="D64" s="3" t="s">
        <v>24</v>
      </c>
      <c r="E64" s="3" t="s">
        <v>103</v>
      </c>
    </row>
    <row r="65" spans="1:5" ht="18.75" customHeight="1" x14ac:dyDescent="0.55000000000000004">
      <c r="A65" s="3" t="s">
        <v>97</v>
      </c>
      <c r="B65" s="3" t="s">
        <v>105</v>
      </c>
      <c r="C65" s="5">
        <f>2*10^-9</f>
        <v>2.0000000000000001E-9</v>
      </c>
      <c r="D65" s="3" t="s">
        <v>88</v>
      </c>
      <c r="E65" s="7" t="s">
        <v>106</v>
      </c>
    </row>
    <row r="66" spans="1:5" ht="18.75" customHeight="1" x14ac:dyDescent="0.55000000000000004">
      <c r="A66" s="3" t="s">
        <v>97</v>
      </c>
      <c r="B66" s="3" t="s">
        <v>107</v>
      </c>
      <c r="C66" s="4">
        <v>10.25</v>
      </c>
      <c r="D66" s="3" t="s">
        <v>108</v>
      </c>
      <c r="E66" s="7"/>
    </row>
    <row r="67" spans="1:5" ht="18.75" customHeight="1" x14ac:dyDescent="0.55000000000000004">
      <c r="A67" s="3" t="s">
        <v>97</v>
      </c>
      <c r="B67" s="3" t="s">
        <v>109</v>
      </c>
      <c r="C67" s="5">
        <v>50</v>
      </c>
      <c r="D67" s="3" t="s">
        <v>108</v>
      </c>
      <c r="E67" s="7"/>
    </row>
    <row r="68" spans="1:5" ht="18.75" customHeight="1" x14ac:dyDescent="0.55000000000000004">
      <c r="A68" s="3" t="s">
        <v>97</v>
      </c>
      <c r="B68" s="3" t="s">
        <v>110</v>
      </c>
      <c r="C68" s="4">
        <v>3.5</v>
      </c>
      <c r="D68" s="3" t="s">
        <v>111</v>
      </c>
      <c r="E68" s="3"/>
    </row>
    <row r="69" spans="1:5" ht="18.75" customHeight="1" x14ac:dyDescent="0.55000000000000004">
      <c r="A69" s="3" t="s">
        <v>97</v>
      </c>
      <c r="B69" s="3" t="s">
        <v>65</v>
      </c>
      <c r="C69" s="4">
        <v>1830</v>
      </c>
      <c r="D69" s="3" t="s">
        <v>21</v>
      </c>
      <c r="E69" s="3" t="s">
        <v>66</v>
      </c>
    </row>
    <row r="70" spans="1:5" ht="18.75" customHeight="1" x14ac:dyDescent="0.55000000000000004">
      <c r="A70" s="3" t="s">
        <v>97</v>
      </c>
      <c r="B70" s="3" t="s">
        <v>28</v>
      </c>
      <c r="C70" s="4">
        <v>5000</v>
      </c>
      <c r="D70" s="3" t="s">
        <v>112</v>
      </c>
      <c r="E70" s="7" t="s">
        <v>113</v>
      </c>
    </row>
    <row r="71" spans="1:5" ht="18.75" customHeight="1" x14ac:dyDescent="0.55000000000000004">
      <c r="A71" s="3" t="s">
        <v>97</v>
      </c>
      <c r="B71" s="3" t="s">
        <v>57</v>
      </c>
      <c r="C71" s="5">
        <v>1</v>
      </c>
      <c r="D71" s="3" t="s">
        <v>58</v>
      </c>
      <c r="E71" s="7"/>
    </row>
    <row r="72" spans="1:5" ht="18.75" customHeight="1" x14ac:dyDescent="0.55000000000000004">
      <c r="A72" s="3" t="s">
        <v>97</v>
      </c>
      <c r="B72" s="3" t="s">
        <v>34</v>
      </c>
      <c r="C72" s="5">
        <v>0.7</v>
      </c>
      <c r="D72" s="3" t="s">
        <v>99</v>
      </c>
      <c r="E72" s="7"/>
    </row>
    <row r="73" spans="1:5" ht="18.75" customHeight="1" x14ac:dyDescent="0.55000000000000004">
      <c r="A73" s="3" t="s">
        <v>97</v>
      </c>
      <c r="B73" s="3" t="s">
        <v>114</v>
      </c>
      <c r="C73" s="5">
        <v>0.5</v>
      </c>
      <c r="D73" s="3" t="s">
        <v>69</v>
      </c>
      <c r="E73" s="7"/>
    </row>
    <row r="74" spans="1:5" ht="18.75" customHeight="1" x14ac:dyDescent="0.55000000000000004">
      <c r="A74" s="3" t="s">
        <v>97</v>
      </c>
      <c r="B74" s="3" t="s">
        <v>115</v>
      </c>
      <c r="C74" s="4">
        <v>0.6</v>
      </c>
      <c r="D74" s="3" t="s">
        <v>99</v>
      </c>
      <c r="E74" s="3"/>
    </row>
    <row r="75" spans="1:5" ht="18.75" customHeight="1" x14ac:dyDescent="0.55000000000000004">
      <c r="A75" s="3" t="s">
        <v>127</v>
      </c>
      <c r="B75" s="3" t="s">
        <v>28</v>
      </c>
      <c r="C75" s="4">
        <v>15000</v>
      </c>
      <c r="D75" s="3" t="s">
        <v>49</v>
      </c>
      <c r="E75" s="7" t="s">
        <v>116</v>
      </c>
    </row>
    <row r="76" spans="1:5" ht="18.75" customHeight="1" x14ac:dyDescent="0.55000000000000004">
      <c r="A76" s="3" t="s">
        <v>127</v>
      </c>
      <c r="B76" s="3" t="s">
        <v>31</v>
      </c>
      <c r="C76" s="5">
        <v>10</v>
      </c>
      <c r="D76" s="3" t="s">
        <v>32</v>
      </c>
      <c r="E76" s="7"/>
    </row>
    <row r="77" spans="1:5" ht="18.75" customHeight="1" x14ac:dyDescent="0.55000000000000004">
      <c r="A77" s="3" t="s">
        <v>127</v>
      </c>
      <c r="B77" s="3" t="s">
        <v>34</v>
      </c>
      <c r="C77" s="5">
        <v>0.6</v>
      </c>
      <c r="D77" s="3" t="s">
        <v>99</v>
      </c>
      <c r="E77" s="7"/>
    </row>
    <row r="78" spans="1:5" ht="18.75" customHeight="1" x14ac:dyDescent="0.55000000000000004">
      <c r="A78" s="3" t="s">
        <v>127</v>
      </c>
      <c r="B78" s="3" t="s">
        <v>117</v>
      </c>
      <c r="C78" s="5">
        <v>0.6</v>
      </c>
      <c r="D78" s="3" t="s">
        <v>99</v>
      </c>
      <c r="E78" s="7"/>
    </row>
    <row r="79" spans="1:5" ht="18.75" customHeight="1" x14ac:dyDescent="0.55000000000000004">
      <c r="A79" s="3" t="s">
        <v>127</v>
      </c>
      <c r="B79" s="3" t="s">
        <v>115</v>
      </c>
      <c r="C79" s="5">
        <v>0.7</v>
      </c>
      <c r="D79" s="3" t="s">
        <v>99</v>
      </c>
      <c r="E79" s="7"/>
    </row>
    <row r="80" spans="1:5" ht="18.75" customHeight="1" x14ac:dyDescent="0.55000000000000004">
      <c r="A80" s="3" t="s">
        <v>127</v>
      </c>
      <c r="B80" s="3" t="s">
        <v>110</v>
      </c>
      <c r="C80" s="4">
        <v>3.5</v>
      </c>
      <c r="D80" s="3" t="s">
        <v>99</v>
      </c>
      <c r="E80" s="7"/>
    </row>
    <row r="81" spans="1:5" ht="18.75" customHeight="1" x14ac:dyDescent="0.55000000000000004">
      <c r="A81" s="3" t="s">
        <v>127</v>
      </c>
      <c r="B81" s="3" t="s">
        <v>65</v>
      </c>
      <c r="C81" s="5">
        <v>1840</v>
      </c>
      <c r="D81" s="3" t="s">
        <v>21</v>
      </c>
      <c r="E81" s="3"/>
    </row>
    <row r="82" spans="1:5" ht="18.75" customHeight="1" x14ac:dyDescent="0.55000000000000004">
      <c r="A82" s="3" t="s">
        <v>127</v>
      </c>
      <c r="B82" s="3" t="s">
        <v>118</v>
      </c>
      <c r="C82" s="5">
        <v>0.125</v>
      </c>
      <c r="D82" s="3" t="s">
        <v>41</v>
      </c>
      <c r="E82" s="3" t="s">
        <v>64</v>
      </c>
    </row>
    <row r="83" spans="1:5" ht="18.75" customHeight="1" x14ac:dyDescent="0.55000000000000004">
      <c r="A83" s="3" t="s">
        <v>127</v>
      </c>
      <c r="B83" s="3" t="s">
        <v>119</v>
      </c>
      <c r="C83" s="5">
        <f>150/1000</f>
        <v>0.15</v>
      </c>
      <c r="D83" s="7" t="s">
        <v>41</v>
      </c>
      <c r="E83" s="7" t="s">
        <v>42</v>
      </c>
    </row>
    <row r="84" spans="1:5" ht="18.75" customHeight="1" x14ac:dyDescent="0.55000000000000004">
      <c r="A84" s="3" t="s">
        <v>127</v>
      </c>
      <c r="B84" s="3" t="s">
        <v>98</v>
      </c>
      <c r="C84" s="4">
        <v>9.25</v>
      </c>
      <c r="D84" s="7"/>
      <c r="E84" s="7"/>
    </row>
    <row r="85" spans="1:5" ht="18.75" customHeight="1" x14ac:dyDescent="0.55000000000000004">
      <c r="A85" s="3" t="s">
        <v>127</v>
      </c>
      <c r="B85" s="3" t="s">
        <v>100</v>
      </c>
      <c r="C85" s="4">
        <v>11</v>
      </c>
      <c r="D85" s="7"/>
      <c r="E85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Ganapavarapu, Sai Tarun</cp:lastModifiedBy>
  <dcterms:created xsi:type="dcterms:W3CDTF">2026-05-27T00:07:27Z</dcterms:created>
  <dcterms:modified xsi:type="dcterms:W3CDTF">2026-09-08T02:10:08Z</dcterms:modified>
</cp:coreProperties>
</file>